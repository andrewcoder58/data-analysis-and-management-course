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<sst xmlns="http://schemas.openxmlformats.org/spreadsheetml/2006/main" count="219" uniqueCount="93">
  <si>
    <t>id</t>
  </si>
  <si>
    <t>name</t>
  </si>
  <si>
    <t>title</t>
  </si>
  <si>
    <t>department</t>
  </si>
  <si>
    <t>gender</t>
  </si>
  <si>
    <t>age</t>
  </si>
  <si>
    <t>salary</t>
  </si>
  <si>
    <t>Salary total</t>
  </si>
  <si>
    <t>James Parker</t>
  </si>
  <si>
    <t>Senior Engineer</t>
  </si>
  <si>
    <t>Engineering</t>
  </si>
  <si>
    <t>Male</t>
  </si>
  <si>
    <t>Average salary</t>
  </si>
  <si>
    <t>Sarah Chen</t>
  </si>
  <si>
    <t>Female</t>
  </si>
  <si>
    <t>Lowest salary</t>
  </si>
  <si>
    <t>Marcus Johnson</t>
  </si>
  <si>
    <t>Software Engineer</t>
  </si>
  <si>
    <t>Highest salary</t>
  </si>
  <si>
    <t>Priya Patel</t>
  </si>
  <si>
    <t># in Engineering</t>
  </si>
  <si>
    <t>Tyler Brooks</t>
  </si>
  <si>
    <t>DevOps Engineer</t>
  </si>
  <si>
    <t>Marketing avg salary</t>
  </si>
  <si>
    <t>Linda Nguyen</t>
  </si>
  <si>
    <t>Derek Williams</t>
  </si>
  <si>
    <t>Aisha Mohammed</t>
  </si>
  <si>
    <t>Robert Kim</t>
  </si>
  <si>
    <t>Data Scientist</t>
  </si>
  <si>
    <t>Jessica Rivera</t>
  </si>
  <si>
    <t>Brandon Lee</t>
  </si>
  <si>
    <t>Mei Zhang</t>
  </si>
  <si>
    <t>Non-binary</t>
  </si>
  <si>
    <t>Rachel Green</t>
  </si>
  <si>
    <t>Marketing Manager</t>
  </si>
  <si>
    <t>Marketing</t>
  </si>
  <si>
    <t>David Okafor</t>
  </si>
  <si>
    <t>Emma Thompson</t>
  </si>
  <si>
    <t>Marketing Analyst</t>
  </si>
  <si>
    <t>Chris Martinez</t>
  </si>
  <si>
    <t>Olivia Wilson</t>
  </si>
  <si>
    <t>Content Strategist</t>
  </si>
  <si>
    <t>Jason Taylor</t>
  </si>
  <si>
    <t>Sophia Hernandez</t>
  </si>
  <si>
    <t>Brand Coordinator</t>
  </si>
  <si>
    <t>Nathan Brooks</t>
  </si>
  <si>
    <t>Maya Rodriguez</t>
  </si>
  <si>
    <t>Alex Kim</t>
  </si>
  <si>
    <t>Karen White</t>
  </si>
  <si>
    <t>HR Manager</t>
  </si>
  <si>
    <t>HR</t>
  </si>
  <si>
    <t>Michael Brown</t>
  </si>
  <si>
    <t>HR Coordinator</t>
  </si>
  <si>
    <t>Diana Reyes</t>
  </si>
  <si>
    <t>Thomas Anderson</t>
  </si>
  <si>
    <t>Grace Liu</t>
  </si>
  <si>
    <t>Recruiter</t>
  </si>
  <si>
    <t>Jordan Casey</t>
  </si>
  <si>
    <t>Benefits Specialist</t>
  </si>
  <si>
    <t>Patricia Moore</t>
  </si>
  <si>
    <t>Samuel Davis</t>
  </si>
  <si>
    <t>Catherine Lee</t>
  </si>
  <si>
    <t>Financial Analyst</t>
  </si>
  <si>
    <t>Finance</t>
  </si>
  <si>
    <t>Richard Clark</t>
  </si>
  <si>
    <t>Senior Financial Analyst</t>
  </si>
  <si>
    <t>Angela Foster</t>
  </si>
  <si>
    <t>Accountant</t>
  </si>
  <si>
    <t>William Grant</t>
  </si>
  <si>
    <t>Lisa Chang</t>
  </si>
  <si>
    <t>Daniel Harris</t>
  </si>
  <si>
    <t>Auditor</t>
  </si>
  <si>
    <t>Maria Santos</t>
  </si>
  <si>
    <t>Eric Nelson</t>
  </si>
  <si>
    <t>Yuki Tanaka</t>
  </si>
  <si>
    <t>Ryan Mitchell</t>
  </si>
  <si>
    <t>Monica Adams</t>
  </si>
  <si>
    <t>Sales Rep</t>
  </si>
  <si>
    <t>Sales</t>
  </si>
  <si>
    <t>Jake Sullivan</t>
  </si>
  <si>
    <t>Account Executive</t>
  </si>
  <si>
    <t>Destiny Washington</t>
  </si>
  <si>
    <t>Brian Cooper</t>
  </si>
  <si>
    <t>Sales Manager</t>
  </si>
  <si>
    <t>Alicia Martin</t>
  </si>
  <si>
    <t>Kevin Price</t>
  </si>
  <si>
    <t>Samantha Reed</t>
  </si>
  <si>
    <t>Omar Hassan</t>
  </si>
  <si>
    <t>Tiffany Barnes</t>
  </si>
  <si>
    <t>Carlos Gutierrez</t>
  </si>
  <si>
    <t>AVERAGE of salary</t>
  </si>
  <si>
    <t>COUNTA of name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</si>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</sst>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1" sheet="employee_data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</sharedItems>
    </cacheField>
    <cacheField name="name" numFmtId="0">
      <sharedItems>
        <s v="James Parker"/>
        <s v="Sarah Chen"/>
        <s v="Marcus Johnson"/>
        <s v="Priya Patel"/>
        <s v="Tyler Brooks"/>
        <s v="Linda Nguyen"/>
        <s v="Derek Williams"/>
        <s v="Aisha Mohammed"/>
        <s v="Robert Kim"/>
        <s v="Jessica Rivera"/>
        <s v="Brandon Lee"/>
        <s v="Mei Zhang"/>
        <s v="Rachel Green"/>
        <s v="David Okafor"/>
        <s v="Emma Thompson"/>
        <s v="Chris Martinez"/>
        <s v="Olivia Wilson"/>
        <s v="Jason Taylor"/>
        <s v="Sophia Hernandez"/>
        <s v="Nathan Brooks"/>
        <s v="Maya Rodriguez"/>
        <s v="Alex Kim"/>
        <s v="Karen White"/>
        <s v="Michael Brown"/>
        <s v="Diana Reyes"/>
        <s v="Thomas Anderson"/>
        <s v="Grace Liu"/>
        <s v="Jordan Casey"/>
        <s v="Patricia Moore"/>
        <s v="Samuel Davis"/>
        <s v="Catherine Lee"/>
        <s v="Richard Clark"/>
        <s v="Angela Foster"/>
        <s v="William Grant"/>
        <s v="Lisa Chang"/>
        <s v="Daniel Harris"/>
        <s v="Maria Santos"/>
        <s v="Eric Nelson"/>
        <s v="Yuki Tanaka"/>
        <s v="Ryan Mitchell"/>
        <s v="Monica Adams"/>
        <s v="Jake Sullivan"/>
        <s v="Destiny Washington"/>
        <s v="Brian Cooper"/>
        <s v="Alicia Martin"/>
        <s v="Kevin Price"/>
        <s v="Samantha Reed"/>
        <s v="Omar Hassan"/>
        <s v="Tiffany Barnes"/>
        <s v="Carlos Gutierrez"/>
      </sharedItems>
    </cacheField>
    <cacheField name="title" numFmtId="0">
      <sharedItems containsBlank="1">
        <s v="Senior Engineer"/>
        <s v="Software Engineer"/>
        <s v="DevOps Engineer"/>
        <m/>
        <s v="Data Scientist"/>
        <s v="Marketing Manager"/>
        <s v="Marketing Analyst"/>
        <s v="Content Strategist"/>
        <s v="Brand Coordinator"/>
        <s v="HR Manager"/>
        <s v="HR Coordinator"/>
        <s v="Recruiter"/>
        <s v="Benefits Specialist"/>
        <s v="Financial Analyst"/>
        <s v="Senior Financial Analyst"/>
        <s v="Accountant"/>
        <s v="Auditor"/>
        <s v="Sales Rep"/>
        <s v="Account Executive"/>
        <s v="Sales Manager"/>
      </sharedItems>
    </cacheField>
    <cacheField name="department" numFmtId="0">
      <sharedItems>
        <s v="Engineering"/>
        <s v="Marketing"/>
        <s v="HR"/>
        <s v="Finance"/>
        <s v="Sales"/>
      </sharedItems>
    </cacheField>
    <cacheField name="gender" numFmtId="0">
      <sharedItems>
        <s v="Male"/>
        <s v="Female"/>
        <s v="Non-binary"/>
      </sharedItems>
    </cacheField>
    <cacheField name="age" numFmtId="0">
      <sharedItems containsSemiMixedTypes="0" containsString="0" containsNumber="1" containsInteger="1">
        <n v="34.0"/>
        <n v="32.0"/>
        <n v="26.0"/>
        <n v="28.0"/>
        <n v="33.0"/>
        <n v="37.0"/>
        <n v="24.0"/>
        <n v="29.0"/>
        <n v="42.0"/>
        <n v="27.0"/>
        <n v="30.0"/>
        <n v="35.0"/>
        <n v="38.0"/>
        <n v="41.0"/>
        <n v="25.0"/>
        <n v="45.0"/>
        <n v="31.0"/>
        <n v="39.0"/>
        <n v="55.0"/>
        <n v="36.0"/>
        <n v="23.0"/>
        <n v="44.0"/>
        <n v="40.0"/>
        <n v="22.0"/>
      </sharedItems>
    </cacheField>
    <cacheField name="salary" numFmtId="0">
      <sharedItems containsSemiMixedTypes="0" containsString="0" containsNumber="1" containsInteger="1">
        <n v="118000.0"/>
        <n v="110000.0"/>
        <n v="95000.0"/>
        <n v="88000.0"/>
        <n v="108000.0"/>
        <n v="99000.0"/>
        <n v="85000.0"/>
        <n v="82000.0"/>
        <n v="112000.0"/>
        <n v="103000.0"/>
        <n v="92000.0"/>
        <n v="114000.0"/>
        <n v="78000.0"/>
        <n v="84000.0"/>
        <n v="58000.0"/>
        <n v="63000.0"/>
        <n v="55000.0"/>
        <n v="68000.0"/>
        <n v="48000.0"/>
        <n v="60000.0"/>
        <n v="50000.0"/>
        <n v="61000.0"/>
        <n v="72000.0"/>
        <n v="52000.0"/>
        <n v="46000.0"/>
        <n v="44000.0"/>
        <n v="64000.0"/>
        <n v="57000.0"/>
        <n v="69000.0"/>
        <n v="54000.0"/>
        <n v="62000.0"/>
        <n v="98000.0"/>
        <n v="76000.0"/>
        <n v="90000.0"/>
        <n v="45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7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epartment" axis="axisRow" compact="0" outline="0" multipleItemSelectionAllowed="1" showAll="0" sortType="ascending">
      <items>
        <item x="0"/>
        <item x="3"/>
        <item x="2"/>
        <item x="1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3"/>
  </rowFields>
  <colFields>
    <field x="-2"/>
  </colFields>
  <dataFields>
    <dataField name="AVERAGE of salary" fld="6" subtotal="average" baseField="0"/>
    <dataField name="COUNTA of nam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>
        <f>SUM(G2:G51)</f>
        <v>3636000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34.0</v>
      </c>
      <c r="G2" s="1">
        <v>118000.0</v>
      </c>
      <c r="I2" s="1" t="s">
        <v>12</v>
      </c>
      <c r="J2" s="2">
        <f>AVERAGE(G2:G51)</f>
        <v>72720</v>
      </c>
    </row>
    <row r="3">
      <c r="A3" s="1">
        <v>2.0</v>
      </c>
      <c r="B3" s="1" t="s">
        <v>13</v>
      </c>
      <c r="C3" s="1" t="s">
        <v>9</v>
      </c>
      <c r="D3" s="1" t="s">
        <v>10</v>
      </c>
      <c r="E3" s="1" t="s">
        <v>14</v>
      </c>
      <c r="F3" s="1">
        <v>32.0</v>
      </c>
      <c r="G3" s="1">
        <v>110000.0</v>
      </c>
      <c r="I3" s="1" t="s">
        <v>15</v>
      </c>
      <c r="J3" s="2">
        <f>MIN(G2:G51)</f>
        <v>44000</v>
      </c>
    </row>
    <row r="4">
      <c r="A4" s="1">
        <v>3.0</v>
      </c>
      <c r="B4" s="1" t="s">
        <v>16</v>
      </c>
      <c r="C4" s="1" t="s">
        <v>17</v>
      </c>
      <c r="D4" s="1" t="s">
        <v>10</v>
      </c>
      <c r="E4" s="1" t="s">
        <v>11</v>
      </c>
      <c r="F4" s="1">
        <v>26.0</v>
      </c>
      <c r="G4" s="1">
        <v>95000.0</v>
      </c>
      <c r="I4" s="1" t="s">
        <v>18</v>
      </c>
      <c r="J4" s="2">
        <f>MAX(G2:G51)</f>
        <v>118000</v>
      </c>
    </row>
    <row r="5">
      <c r="A5" s="1">
        <v>4.0</v>
      </c>
      <c r="B5" s="1" t="s">
        <v>19</v>
      </c>
      <c r="C5" s="1" t="s">
        <v>17</v>
      </c>
      <c r="D5" s="1" t="s">
        <v>10</v>
      </c>
      <c r="E5" s="1" t="s">
        <v>14</v>
      </c>
      <c r="F5" s="1">
        <v>28.0</v>
      </c>
      <c r="G5" s="1">
        <v>88000.0</v>
      </c>
      <c r="I5" s="1" t="s">
        <v>20</v>
      </c>
      <c r="J5" s="2">
        <f>COUNTIF(D2:D51, "Engineering")</f>
        <v>12</v>
      </c>
    </row>
    <row r="6">
      <c r="A6" s="1">
        <v>5.0</v>
      </c>
      <c r="B6" s="1" t="s">
        <v>21</v>
      </c>
      <c r="C6" s="1" t="s">
        <v>22</v>
      </c>
      <c r="D6" s="1" t="s">
        <v>10</v>
      </c>
      <c r="E6" s="1" t="s">
        <v>11</v>
      </c>
      <c r="F6" s="1">
        <v>33.0</v>
      </c>
      <c r="G6" s="1">
        <v>108000.0</v>
      </c>
      <c r="I6" s="1" t="s">
        <v>23</v>
      </c>
      <c r="J6" s="2">
        <f>AVERAGEIF(D2:D51, "Marketing", G2:G51)</f>
        <v>62500</v>
      </c>
    </row>
    <row r="7">
      <c r="A7" s="1">
        <v>6.0</v>
      </c>
      <c r="B7" s="1" t="s">
        <v>24</v>
      </c>
      <c r="C7" s="1" t="s">
        <v>22</v>
      </c>
      <c r="D7" s="1" t="s">
        <v>10</v>
      </c>
      <c r="E7" s="1" t="s">
        <v>14</v>
      </c>
      <c r="F7" s="1">
        <v>37.0</v>
      </c>
      <c r="G7" s="1">
        <v>99000.0</v>
      </c>
    </row>
    <row r="8">
      <c r="A8" s="1">
        <v>7.0</v>
      </c>
      <c r="B8" s="1" t="s">
        <v>25</v>
      </c>
      <c r="C8" s="1" t="s">
        <v>17</v>
      </c>
      <c r="D8" s="1" t="s">
        <v>10</v>
      </c>
      <c r="E8" s="1" t="s">
        <v>11</v>
      </c>
      <c r="F8" s="1">
        <v>24.0</v>
      </c>
      <c r="G8" s="1">
        <v>85000.0</v>
      </c>
    </row>
    <row r="9">
      <c r="A9" s="1">
        <v>8.0</v>
      </c>
      <c r="B9" s="1" t="s">
        <v>26</v>
      </c>
      <c r="D9" s="1" t="s">
        <v>10</v>
      </c>
      <c r="E9" s="1" t="s">
        <v>14</v>
      </c>
      <c r="F9" s="1">
        <v>29.0</v>
      </c>
      <c r="G9" s="1">
        <v>82000.0</v>
      </c>
    </row>
    <row r="10">
      <c r="A10" s="1">
        <v>9.0</v>
      </c>
      <c r="B10" s="1" t="s">
        <v>27</v>
      </c>
      <c r="C10" s="1" t="s">
        <v>28</v>
      </c>
      <c r="D10" s="1" t="s">
        <v>10</v>
      </c>
      <c r="E10" s="1" t="s">
        <v>11</v>
      </c>
      <c r="F10" s="1">
        <v>42.0</v>
      </c>
      <c r="G10" s="1">
        <v>112000.0</v>
      </c>
    </row>
    <row r="11">
      <c r="A11" s="1">
        <v>10.0</v>
      </c>
      <c r="B11" s="1" t="s">
        <v>29</v>
      </c>
      <c r="C11" s="1" t="s">
        <v>28</v>
      </c>
      <c r="D11" s="1" t="s">
        <v>10</v>
      </c>
      <c r="E11" s="1" t="s">
        <v>14</v>
      </c>
      <c r="F11" s="1">
        <v>27.0</v>
      </c>
      <c r="G11" s="1">
        <v>103000.0</v>
      </c>
    </row>
    <row r="12">
      <c r="A12" s="1">
        <v>11.0</v>
      </c>
      <c r="B12" s="1" t="s">
        <v>30</v>
      </c>
      <c r="C12" s="1" t="s">
        <v>17</v>
      </c>
      <c r="D12" s="1" t="s">
        <v>10</v>
      </c>
      <c r="E12" s="1" t="s">
        <v>11</v>
      </c>
      <c r="F12" s="1">
        <v>30.0</v>
      </c>
      <c r="G12" s="1">
        <v>92000.0</v>
      </c>
    </row>
    <row r="13">
      <c r="A13" s="1">
        <v>12.0</v>
      </c>
      <c r="B13" s="1" t="s">
        <v>31</v>
      </c>
      <c r="C13" s="1" t="s">
        <v>9</v>
      </c>
      <c r="D13" s="1" t="s">
        <v>10</v>
      </c>
      <c r="E13" s="1" t="s">
        <v>32</v>
      </c>
      <c r="F13" s="1">
        <v>35.0</v>
      </c>
      <c r="G13" s="1">
        <v>114000.0</v>
      </c>
    </row>
    <row r="14">
      <c r="A14" s="1">
        <v>13.0</v>
      </c>
      <c r="B14" s="1" t="s">
        <v>33</v>
      </c>
      <c r="C14" s="1" t="s">
        <v>34</v>
      </c>
      <c r="D14" s="1" t="s">
        <v>35</v>
      </c>
      <c r="E14" s="1" t="s">
        <v>14</v>
      </c>
      <c r="F14" s="1">
        <v>38.0</v>
      </c>
      <c r="G14" s="1">
        <v>78000.0</v>
      </c>
    </row>
    <row r="15">
      <c r="A15" s="1">
        <v>14.0</v>
      </c>
      <c r="B15" s="1" t="s">
        <v>36</v>
      </c>
      <c r="C15" s="1" t="s">
        <v>34</v>
      </c>
      <c r="D15" s="1" t="s">
        <v>35</v>
      </c>
      <c r="E15" s="1" t="s">
        <v>11</v>
      </c>
      <c r="F15" s="1">
        <v>41.0</v>
      </c>
      <c r="G15" s="1">
        <v>84000.0</v>
      </c>
    </row>
    <row r="16">
      <c r="A16" s="1">
        <v>15.0</v>
      </c>
      <c r="B16" s="1" t="s">
        <v>37</v>
      </c>
      <c r="C16" s="1" t="s">
        <v>38</v>
      </c>
      <c r="D16" s="1" t="s">
        <v>35</v>
      </c>
      <c r="E16" s="1" t="s">
        <v>14</v>
      </c>
      <c r="F16" s="1">
        <v>32.0</v>
      </c>
      <c r="G16" s="1">
        <v>58000.0</v>
      </c>
    </row>
    <row r="17">
      <c r="A17" s="1">
        <v>16.0</v>
      </c>
      <c r="B17" s="1" t="s">
        <v>39</v>
      </c>
      <c r="C17" s="1" t="s">
        <v>38</v>
      </c>
      <c r="D17" s="1" t="s">
        <v>35</v>
      </c>
      <c r="E17" s="1" t="s">
        <v>11</v>
      </c>
      <c r="F17" s="1">
        <v>29.0</v>
      </c>
      <c r="G17" s="1">
        <v>63000.0</v>
      </c>
    </row>
    <row r="18">
      <c r="A18" s="1">
        <v>17.0</v>
      </c>
      <c r="B18" s="1" t="s">
        <v>40</v>
      </c>
      <c r="C18" s="1" t="s">
        <v>41</v>
      </c>
      <c r="D18" s="1" t="s">
        <v>35</v>
      </c>
      <c r="E18" s="1" t="s">
        <v>14</v>
      </c>
      <c r="F18" s="1">
        <v>25.0</v>
      </c>
      <c r="G18" s="1">
        <v>55000.0</v>
      </c>
    </row>
    <row r="19">
      <c r="A19" s="1">
        <v>18.0</v>
      </c>
      <c r="B19" s="1" t="s">
        <v>42</v>
      </c>
      <c r="D19" s="1" t="s">
        <v>35</v>
      </c>
      <c r="E19" s="1" t="s">
        <v>11</v>
      </c>
      <c r="F19" s="1">
        <v>29.0</v>
      </c>
      <c r="G19" s="1">
        <v>68000.0</v>
      </c>
    </row>
    <row r="20">
      <c r="A20" s="1">
        <v>19.0</v>
      </c>
      <c r="B20" s="1" t="s">
        <v>43</v>
      </c>
      <c r="C20" s="1" t="s">
        <v>44</v>
      </c>
      <c r="D20" s="1" t="s">
        <v>35</v>
      </c>
      <c r="E20" s="1" t="s">
        <v>14</v>
      </c>
      <c r="F20" s="1">
        <v>24.0</v>
      </c>
      <c r="G20" s="1">
        <v>48000.0</v>
      </c>
    </row>
    <row r="21">
      <c r="A21" s="1">
        <v>20.0</v>
      </c>
      <c r="B21" s="1" t="s">
        <v>45</v>
      </c>
      <c r="C21" s="1" t="s">
        <v>41</v>
      </c>
      <c r="D21" s="1" t="s">
        <v>35</v>
      </c>
      <c r="E21" s="1" t="s">
        <v>11</v>
      </c>
      <c r="F21" s="1">
        <v>33.0</v>
      </c>
      <c r="G21" s="1">
        <v>60000.0</v>
      </c>
    </row>
    <row r="22">
      <c r="A22" s="1">
        <v>21.0</v>
      </c>
      <c r="B22" s="1" t="s">
        <v>46</v>
      </c>
      <c r="C22" s="1" t="s">
        <v>44</v>
      </c>
      <c r="D22" s="1" t="s">
        <v>35</v>
      </c>
      <c r="E22" s="1" t="s">
        <v>14</v>
      </c>
      <c r="F22" s="1">
        <v>28.0</v>
      </c>
      <c r="G22" s="1">
        <v>50000.0</v>
      </c>
    </row>
    <row r="23">
      <c r="A23" s="1">
        <v>22.0</v>
      </c>
      <c r="B23" s="1" t="s">
        <v>47</v>
      </c>
      <c r="C23" s="1" t="s">
        <v>38</v>
      </c>
      <c r="D23" s="1" t="s">
        <v>35</v>
      </c>
      <c r="E23" s="1" t="s">
        <v>32</v>
      </c>
      <c r="F23" s="1">
        <v>30.0</v>
      </c>
      <c r="G23" s="1">
        <v>61000.0</v>
      </c>
    </row>
    <row r="24">
      <c r="A24" s="1">
        <v>23.0</v>
      </c>
      <c r="B24" s="1" t="s">
        <v>48</v>
      </c>
      <c r="C24" s="1" t="s">
        <v>49</v>
      </c>
      <c r="D24" s="1" t="s">
        <v>50</v>
      </c>
      <c r="E24" s="1" t="s">
        <v>14</v>
      </c>
      <c r="F24" s="1">
        <v>45.0</v>
      </c>
      <c r="G24" s="1">
        <v>72000.0</v>
      </c>
    </row>
    <row r="25">
      <c r="A25" s="1">
        <v>24.0</v>
      </c>
      <c r="B25" s="1" t="s">
        <v>51</v>
      </c>
      <c r="C25" s="1" t="s">
        <v>52</v>
      </c>
      <c r="D25" s="1" t="s">
        <v>50</v>
      </c>
      <c r="E25" s="1" t="s">
        <v>11</v>
      </c>
      <c r="F25" s="1">
        <v>28.0</v>
      </c>
      <c r="G25" s="1">
        <v>52000.0</v>
      </c>
    </row>
    <row r="26">
      <c r="A26" s="1">
        <v>25.0</v>
      </c>
      <c r="B26" s="1" t="s">
        <v>53</v>
      </c>
      <c r="C26" s="1" t="s">
        <v>52</v>
      </c>
      <c r="D26" s="1" t="s">
        <v>50</v>
      </c>
      <c r="E26" s="1" t="s">
        <v>14</v>
      </c>
      <c r="F26" s="1">
        <v>31.0</v>
      </c>
      <c r="G26" s="1">
        <v>48000.0</v>
      </c>
    </row>
    <row r="27">
      <c r="A27" s="1">
        <v>26.0</v>
      </c>
      <c r="B27" s="1" t="s">
        <v>54</v>
      </c>
      <c r="C27" s="1" t="s">
        <v>49</v>
      </c>
      <c r="D27" s="1" t="s">
        <v>50</v>
      </c>
      <c r="E27" s="1" t="s">
        <v>11</v>
      </c>
      <c r="F27" s="1">
        <v>39.0</v>
      </c>
      <c r="G27" s="1">
        <v>78000.0</v>
      </c>
    </row>
    <row r="28">
      <c r="A28" s="1">
        <v>27.0</v>
      </c>
      <c r="B28" s="1" t="s">
        <v>55</v>
      </c>
      <c r="C28" s="1" t="s">
        <v>56</v>
      </c>
      <c r="D28" s="1" t="s">
        <v>50</v>
      </c>
      <c r="E28" s="1" t="s">
        <v>14</v>
      </c>
      <c r="F28" s="1">
        <v>34.0</v>
      </c>
      <c r="G28" s="1">
        <v>46000.0</v>
      </c>
    </row>
    <row r="29">
      <c r="A29" s="1">
        <v>28.0</v>
      </c>
      <c r="B29" s="1" t="s">
        <v>57</v>
      </c>
      <c r="C29" s="1" t="s">
        <v>58</v>
      </c>
      <c r="D29" s="1" t="s">
        <v>50</v>
      </c>
      <c r="E29" s="1" t="s">
        <v>32</v>
      </c>
      <c r="F29" s="1">
        <v>26.0</v>
      </c>
      <c r="G29" s="1">
        <v>50000.0</v>
      </c>
    </row>
    <row r="30">
      <c r="A30" s="1">
        <v>29.0</v>
      </c>
      <c r="B30" s="1" t="s">
        <v>59</v>
      </c>
      <c r="C30" s="1" t="s">
        <v>56</v>
      </c>
      <c r="D30" s="1" t="s">
        <v>50</v>
      </c>
      <c r="E30" s="1" t="s">
        <v>14</v>
      </c>
      <c r="F30" s="1">
        <v>29.0</v>
      </c>
      <c r="G30" s="1">
        <v>44000.0</v>
      </c>
    </row>
    <row r="31">
      <c r="A31" s="1">
        <v>30.0</v>
      </c>
      <c r="B31" s="1" t="s">
        <v>60</v>
      </c>
      <c r="D31" s="1" t="s">
        <v>50</v>
      </c>
      <c r="E31" s="1" t="s">
        <v>11</v>
      </c>
      <c r="F31" s="1">
        <v>33.0</v>
      </c>
      <c r="G31" s="1">
        <v>55000.0</v>
      </c>
    </row>
    <row r="32">
      <c r="A32" s="1">
        <v>31.0</v>
      </c>
      <c r="B32" s="1" t="s">
        <v>61</v>
      </c>
      <c r="C32" s="1" t="s">
        <v>62</v>
      </c>
      <c r="D32" s="1" t="s">
        <v>63</v>
      </c>
      <c r="E32" s="1" t="s">
        <v>14</v>
      </c>
      <c r="F32" s="1">
        <v>27.0</v>
      </c>
      <c r="G32" s="1">
        <v>64000.0</v>
      </c>
    </row>
    <row r="33">
      <c r="A33" s="1">
        <v>32.0</v>
      </c>
      <c r="B33" s="1" t="s">
        <v>64</v>
      </c>
      <c r="C33" s="1" t="s">
        <v>65</v>
      </c>
      <c r="D33" s="1" t="s">
        <v>63</v>
      </c>
      <c r="E33" s="1" t="s">
        <v>11</v>
      </c>
      <c r="F33" s="1">
        <v>55.0</v>
      </c>
      <c r="G33" s="1">
        <v>88000.0</v>
      </c>
    </row>
    <row r="34">
      <c r="A34" s="1">
        <v>33.0</v>
      </c>
      <c r="B34" s="1" t="s">
        <v>66</v>
      </c>
      <c r="C34" s="1" t="s">
        <v>67</v>
      </c>
      <c r="D34" s="1" t="s">
        <v>63</v>
      </c>
      <c r="E34" s="1" t="s">
        <v>14</v>
      </c>
      <c r="F34" s="1">
        <v>33.0</v>
      </c>
      <c r="G34" s="1">
        <v>57000.0</v>
      </c>
    </row>
    <row r="35">
      <c r="A35" s="1">
        <v>34.0</v>
      </c>
      <c r="B35" s="1" t="s">
        <v>68</v>
      </c>
      <c r="C35" s="1" t="s">
        <v>62</v>
      </c>
      <c r="D35" s="1" t="s">
        <v>63</v>
      </c>
      <c r="E35" s="1" t="s">
        <v>11</v>
      </c>
      <c r="F35" s="1">
        <v>29.0</v>
      </c>
      <c r="G35" s="1">
        <v>69000.0</v>
      </c>
    </row>
    <row r="36">
      <c r="A36" s="1">
        <v>35.0</v>
      </c>
      <c r="B36" s="1" t="s">
        <v>69</v>
      </c>
      <c r="C36" s="1" t="s">
        <v>65</v>
      </c>
      <c r="D36" s="1" t="s">
        <v>63</v>
      </c>
      <c r="E36" s="1" t="s">
        <v>14</v>
      </c>
      <c r="F36" s="1">
        <v>38.0</v>
      </c>
      <c r="G36" s="1">
        <v>82000.0</v>
      </c>
    </row>
    <row r="37">
      <c r="A37" s="1">
        <v>36.0</v>
      </c>
      <c r="B37" s="1" t="s">
        <v>70</v>
      </c>
      <c r="C37" s="1" t="s">
        <v>71</v>
      </c>
      <c r="D37" s="1" t="s">
        <v>63</v>
      </c>
      <c r="E37" s="1" t="s">
        <v>11</v>
      </c>
      <c r="F37" s="1">
        <v>31.0</v>
      </c>
      <c r="G37" s="1">
        <v>72000.0</v>
      </c>
    </row>
    <row r="38">
      <c r="A38" s="1">
        <v>37.0</v>
      </c>
      <c r="B38" s="1" t="s">
        <v>72</v>
      </c>
      <c r="C38" s="1" t="s">
        <v>67</v>
      </c>
      <c r="D38" s="1" t="s">
        <v>63</v>
      </c>
      <c r="E38" s="1" t="s">
        <v>14</v>
      </c>
      <c r="F38" s="1">
        <v>26.0</v>
      </c>
      <c r="G38" s="1">
        <v>54000.0</v>
      </c>
    </row>
    <row r="39">
      <c r="A39" s="1">
        <v>38.0</v>
      </c>
      <c r="B39" s="1" t="s">
        <v>73</v>
      </c>
      <c r="C39" s="1" t="s">
        <v>71</v>
      </c>
      <c r="D39" s="1" t="s">
        <v>63</v>
      </c>
      <c r="E39" s="1" t="s">
        <v>11</v>
      </c>
      <c r="F39" s="1">
        <v>42.0</v>
      </c>
      <c r="G39" s="1">
        <v>78000.0</v>
      </c>
    </row>
    <row r="40">
      <c r="A40" s="1">
        <v>39.0</v>
      </c>
      <c r="B40" s="1" t="s">
        <v>74</v>
      </c>
      <c r="C40" s="1" t="s">
        <v>62</v>
      </c>
      <c r="D40" s="1" t="s">
        <v>63</v>
      </c>
      <c r="E40" s="1" t="s">
        <v>14</v>
      </c>
      <c r="F40" s="1">
        <v>30.0</v>
      </c>
      <c r="G40" s="1">
        <v>63000.0</v>
      </c>
    </row>
    <row r="41">
      <c r="A41" s="1">
        <v>40.0</v>
      </c>
      <c r="B41" s="1" t="s">
        <v>75</v>
      </c>
      <c r="C41" s="1" t="s">
        <v>67</v>
      </c>
      <c r="D41" s="1" t="s">
        <v>63</v>
      </c>
      <c r="E41" s="1" t="s">
        <v>11</v>
      </c>
      <c r="F41" s="1">
        <v>36.0</v>
      </c>
      <c r="G41" s="1">
        <v>62000.0</v>
      </c>
    </row>
    <row r="42">
      <c r="A42" s="1">
        <v>41.0</v>
      </c>
      <c r="B42" s="1" t="s">
        <v>76</v>
      </c>
      <c r="C42" s="1" t="s">
        <v>77</v>
      </c>
      <c r="D42" s="1" t="s">
        <v>78</v>
      </c>
      <c r="E42" s="1" t="s">
        <v>14</v>
      </c>
      <c r="F42" s="1">
        <v>24.0</v>
      </c>
      <c r="G42" s="1">
        <v>48000.0</v>
      </c>
    </row>
    <row r="43">
      <c r="A43" s="1">
        <v>42.0</v>
      </c>
      <c r="B43" s="1" t="s">
        <v>79</v>
      </c>
      <c r="C43" s="1" t="s">
        <v>80</v>
      </c>
      <c r="D43" s="1" t="s">
        <v>78</v>
      </c>
      <c r="E43" s="1" t="s">
        <v>11</v>
      </c>
      <c r="F43" s="1">
        <v>32.0</v>
      </c>
      <c r="G43" s="1">
        <v>82000.0</v>
      </c>
    </row>
    <row r="44">
      <c r="A44" s="1">
        <v>43.0</v>
      </c>
      <c r="B44" s="1" t="s">
        <v>81</v>
      </c>
      <c r="C44" s="1" t="s">
        <v>77</v>
      </c>
      <c r="D44" s="1" t="s">
        <v>78</v>
      </c>
      <c r="E44" s="1" t="s">
        <v>14</v>
      </c>
      <c r="F44" s="1">
        <v>23.0</v>
      </c>
      <c r="G44" s="1">
        <v>46000.0</v>
      </c>
    </row>
    <row r="45">
      <c r="A45" s="1">
        <v>44.0</v>
      </c>
      <c r="B45" s="1" t="s">
        <v>82</v>
      </c>
      <c r="C45" s="1" t="s">
        <v>83</v>
      </c>
      <c r="D45" s="1" t="s">
        <v>78</v>
      </c>
      <c r="E45" s="1" t="s">
        <v>11</v>
      </c>
      <c r="F45" s="1">
        <v>44.0</v>
      </c>
      <c r="G45" s="1">
        <v>98000.0</v>
      </c>
    </row>
    <row r="46">
      <c r="A46" s="1">
        <v>45.0</v>
      </c>
      <c r="B46" s="1" t="s">
        <v>84</v>
      </c>
      <c r="C46" s="1" t="s">
        <v>80</v>
      </c>
      <c r="D46" s="1" t="s">
        <v>78</v>
      </c>
      <c r="E46" s="1" t="s">
        <v>14</v>
      </c>
      <c r="F46" s="1">
        <v>29.0</v>
      </c>
      <c r="G46" s="1">
        <v>76000.0</v>
      </c>
    </row>
    <row r="47">
      <c r="A47" s="1">
        <v>46.0</v>
      </c>
      <c r="B47" s="1" t="s">
        <v>85</v>
      </c>
      <c r="C47" s="1" t="s">
        <v>77</v>
      </c>
      <c r="D47" s="1" t="s">
        <v>78</v>
      </c>
      <c r="E47" s="1" t="s">
        <v>11</v>
      </c>
      <c r="F47" s="1">
        <v>27.0</v>
      </c>
      <c r="G47" s="1">
        <v>52000.0</v>
      </c>
    </row>
    <row r="48">
      <c r="A48" s="1">
        <v>47.0</v>
      </c>
      <c r="B48" s="1" t="s">
        <v>86</v>
      </c>
      <c r="C48" s="1" t="s">
        <v>77</v>
      </c>
      <c r="D48" s="1" t="s">
        <v>78</v>
      </c>
      <c r="E48" s="1" t="s">
        <v>14</v>
      </c>
      <c r="F48" s="1">
        <v>25.0</v>
      </c>
      <c r="G48" s="1">
        <v>50000.0</v>
      </c>
    </row>
    <row r="49">
      <c r="A49" s="1">
        <v>48.0</v>
      </c>
      <c r="B49" s="1" t="s">
        <v>87</v>
      </c>
      <c r="C49" s="1" t="s">
        <v>80</v>
      </c>
      <c r="D49" s="1" t="s">
        <v>78</v>
      </c>
      <c r="E49" s="1" t="s">
        <v>11</v>
      </c>
      <c r="F49" s="1">
        <v>35.0</v>
      </c>
      <c r="G49" s="1">
        <v>84000.0</v>
      </c>
    </row>
    <row r="50">
      <c r="A50" s="1">
        <v>49.0</v>
      </c>
      <c r="B50" s="1" t="s">
        <v>88</v>
      </c>
      <c r="C50" s="1" t="s">
        <v>83</v>
      </c>
      <c r="D50" s="1" t="s">
        <v>78</v>
      </c>
      <c r="E50" s="1" t="s">
        <v>14</v>
      </c>
      <c r="F50" s="1">
        <v>40.0</v>
      </c>
      <c r="G50" s="1">
        <v>90000.0</v>
      </c>
    </row>
    <row r="51">
      <c r="A51" s="1">
        <v>50.0</v>
      </c>
      <c r="B51" s="1" t="s">
        <v>89</v>
      </c>
      <c r="C51" s="1" t="s">
        <v>77</v>
      </c>
      <c r="D51" s="1" t="s">
        <v>78</v>
      </c>
      <c r="E51" s="1" t="s">
        <v>32</v>
      </c>
      <c r="F51" s="1">
        <v>22.0</v>
      </c>
      <c r="G51" s="1">
        <v>45000.0</v>
      </c>
    </row>
  </sheetData>
  <conditionalFormatting sqref="G2:G51">
    <cfRule type="cellIs" dxfId="0" priority="1" operator="greaterThan">
      <formula>75000</formula>
    </cfRule>
  </conditionalFormatting>
  <conditionalFormatting sqref="G2:G51">
    <cfRule type="cellIs" dxfId="1" priority="2" operator="lessThan">
      <formula>50000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